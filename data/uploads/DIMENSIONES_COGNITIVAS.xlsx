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2345\Desktop\GRID\Vento\LCA social\EXCELS DE CARGA\"/>
    </mc:Choice>
  </mc:AlternateContent>
  <xr:revisionPtr revIDLastSave="0" documentId="13_ncr:1_{BA17BB4D-805C-43C3-83FE-A44B6E8DB2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N" sheetId="1" r:id="rId1"/>
    <sheet name="IA" sheetId="2" r:id="rId2"/>
    <sheet name="IAT" sheetId="3" r:id="rId3"/>
    <sheet name="ICI" sheetId="4" r:id="rId4"/>
    <sheet name="IVC" sheetId="5" r:id="rId5"/>
    <sheet name="IME" sheetId="6" r:id="rId6"/>
    <sheet name="IIN" sheetId="7" r:id="rId7"/>
    <sheet name="IPRA" sheetId="8" r:id="rId8"/>
    <sheet name="IC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L14" i="2" s="1"/>
  <c r="J13" i="2"/>
  <c r="K13" i="2" s="1"/>
  <c r="L13" i="2" s="1"/>
  <c r="J12" i="2"/>
  <c r="K12" i="2" s="1"/>
  <c r="L12" i="2" s="1"/>
  <c r="J11" i="2"/>
  <c r="K11" i="2" s="1"/>
  <c r="L11" i="2" s="1"/>
  <c r="J10" i="2"/>
  <c r="K10" i="2" s="1"/>
  <c r="L10" i="2" s="1"/>
  <c r="J9" i="2"/>
  <c r="K9" i="2" s="1"/>
  <c r="L9" i="2" s="1"/>
  <c r="J8" i="2"/>
  <c r="K8" i="2" s="1"/>
  <c r="L8" i="2" s="1"/>
  <c r="J7" i="2"/>
  <c r="K7" i="2" s="1"/>
  <c r="L7" i="2" s="1"/>
  <c r="J6" i="2"/>
  <c r="K6" i="2" s="1"/>
  <c r="L6" i="2" s="1"/>
  <c r="J5" i="2"/>
  <c r="K5" i="2" s="1"/>
  <c r="L5" i="2" s="1"/>
  <c r="J4" i="2"/>
  <c r="K4" i="2" s="1"/>
  <c r="L4" i="2" s="1"/>
  <c r="J3" i="2"/>
  <c r="K3" i="2" s="1"/>
  <c r="L3" i="2" s="1"/>
  <c r="L16" i="2" l="1"/>
</calcChain>
</file>

<file path=xl/sharedStrings.xml><?xml version="1.0" encoding="utf-8"?>
<sst xmlns="http://schemas.openxmlformats.org/spreadsheetml/2006/main" count="191" uniqueCount="84">
  <si>
    <t>DIMENSIONES COGNITIVAS — RESUMEN POR ACTOR Y FASE | La Esperanza, Bajo Atrato</t>
  </si>
  <si>
    <t>Dimensión</t>
  </si>
  <si>
    <t>Nombre Completo</t>
  </si>
  <si>
    <t>Fase 1
Preparación</t>
  </si>
  <si>
    <t>Fase 2
Ejecución</t>
  </si>
  <si>
    <t>Fase 3
Sostenibilidad</t>
  </si>
  <si>
    <t>Estado F1</t>
  </si>
  <si>
    <t>IA</t>
  </si>
  <si>
    <t>Aspiraciones y expectativas</t>
  </si>
  <si>
    <t>MODERADO</t>
  </si>
  <si>
    <t>IAT</t>
  </si>
  <si>
    <t>Tecnología y apropiación</t>
  </si>
  <si>
    <t>BAJO</t>
  </si>
  <si>
    <t>ICI</t>
  </si>
  <si>
    <t>Confianza institucional</t>
  </si>
  <si>
    <t>IVC</t>
  </si>
  <si>
    <t>Identidad cultural</t>
  </si>
  <si>
    <t>FUERTE</t>
  </si>
  <si>
    <t>IME</t>
  </si>
  <si>
    <t>Mentalidad emprendedora</t>
  </si>
  <si>
    <t>IIN</t>
  </si>
  <si>
    <t>Normas de género</t>
  </si>
  <si>
    <t>IPRA</t>
  </si>
  <si>
    <t>Riesgo climático</t>
  </si>
  <si>
    <t>ICS</t>
  </si>
  <si>
    <t>Consumo sostenible</t>
  </si>
  <si>
    <t>IA — Aspiraciones y expectativas hacia el proyecto solar</t>
  </si>
  <si>
    <t>ID</t>
  </si>
  <si>
    <t>Sector</t>
  </si>
  <si>
    <t>Edad</t>
  </si>
  <si>
    <t>Género</t>
  </si>
  <si>
    <t>P1</t>
  </si>
  <si>
    <t>P2</t>
  </si>
  <si>
    <t>P3</t>
  </si>
  <si>
    <t>P4</t>
  </si>
  <si>
    <t>P5</t>
  </si>
  <si>
    <t>Suma</t>
  </si>
  <si>
    <t>Promedio</t>
  </si>
  <si>
    <t>Norm 0-100</t>
  </si>
  <si>
    <t>001</t>
  </si>
  <si>
    <t>Agricultor</t>
  </si>
  <si>
    <t>35</t>
  </si>
  <si>
    <t>M</t>
  </si>
  <si>
    <t>002</t>
  </si>
  <si>
    <t>28</t>
  </si>
  <si>
    <t>F</t>
  </si>
  <si>
    <t>003</t>
  </si>
  <si>
    <t>Pescador</t>
  </si>
  <si>
    <t>42</t>
  </si>
  <si>
    <t>004</t>
  </si>
  <si>
    <t>Comerciante</t>
  </si>
  <si>
    <t>31</t>
  </si>
  <si>
    <t>005</t>
  </si>
  <si>
    <t>55</t>
  </si>
  <si>
    <t>006</t>
  </si>
  <si>
    <t>Docente</t>
  </si>
  <si>
    <t>38</t>
  </si>
  <si>
    <t>007</t>
  </si>
  <si>
    <t>22</t>
  </si>
  <si>
    <t>008</t>
  </si>
  <si>
    <t>46</t>
  </si>
  <si>
    <t>009</t>
  </si>
  <si>
    <t>51</t>
  </si>
  <si>
    <t>010</t>
  </si>
  <si>
    <t>29</t>
  </si>
  <si>
    <t>011</t>
  </si>
  <si>
    <t>44</t>
  </si>
  <si>
    <t>012</t>
  </si>
  <si>
    <t>37</t>
  </si>
  <si>
    <t>PROMEDIO FINAL</t>
  </si>
  <si>
    <t>IAT — Tecnología y apropiación</t>
  </si>
  <si>
    <t>[Ver encuesta IAT — Score promedio Fase 1: 38/100]</t>
  </si>
  <si>
    <t>ICI — Confianza institucional</t>
  </si>
  <si>
    <t>[Ver encuesta ICI — Score promedio Fase 1: 28/100]</t>
  </si>
  <si>
    <t>IVC — Identidad cultural</t>
  </si>
  <si>
    <t>[Ver encuesta IVC — Score promedio Fase 1: 72/100]</t>
  </si>
  <si>
    <t>IME — Mentalidad emprendedora</t>
  </si>
  <si>
    <t>[Ver encuesta IME — Score promedio Fase 1: 32/100]</t>
  </si>
  <si>
    <t>IIN — Normas de género</t>
  </si>
  <si>
    <t>[Ver encuesta IIN — Score promedio Fase 1: 55/100]</t>
  </si>
  <si>
    <t>IPRA — Riesgo climático</t>
  </si>
  <si>
    <t>[Ver encuesta IPRA — Score promedio Fase 1: 43/100]</t>
  </si>
  <si>
    <t>ICS — Consumo sostenible</t>
  </si>
  <si>
    <t>[Ver encuesta ICS — Score promedio Fase 1: 38/100]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</si>
</sst>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i/>
      <sz val="10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C000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D5E8D4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0" fillId="0" borderId="1" xfId="0" applyBorder="1"/>
    <xf numFmtId="164" fontId="8" fillId="5" borderId="1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9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F6" sqref="F6"/>
    </sheetView>
  </sheetViews>
  <sheetFormatPr baseColWidth="10" defaultColWidth="8.88671875" defaultRowHeight="14.4" x14ac:dyDescent="0.3"/>
  <cols>
    <col min="1" max="1" width="7" customWidth="1"/>
    <col min="2" max="2" width="30" customWidth="1"/>
    <col min="3" max="4" width="12" customWidth="1"/>
    <col min="5" max="5" width="41" customWidth="1"/>
    <col min="6" max="6" width="14" customWidth="1"/>
  </cols>
  <sheetData>
    <row r="1" spans="1:6" ht="15.6" x14ac:dyDescent="0.3">
      <c r="A1" s="21" t="s">
        <v>0</v>
      </c>
      <c r="B1" s="22"/>
      <c r="C1" s="22"/>
      <c r="D1" s="22"/>
      <c r="E1" s="22"/>
    </row>
    <row r="2" spans="1:6" ht="36" customHeight="1" x14ac:dyDescent="0.3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2" t="s">
        <v>6</v>
      </c>
    </row>
    <row r="3" spans="1:6" ht="19.95" customHeight="1" x14ac:dyDescent="0.3">
      <c r="A3" s="3" t="s">
        <v>7</v>
      </c>
      <c r="B3" s="4" t="s">
        <v>8</v>
      </c>
      <c r="C3" s="5">
        <v>45</v>
      </c>
      <c r="D3" s="6">
        <v>58</v>
      </c>
      <c r="E3" s="6">
        <v>70</v>
      </c>
      <c r="F3" s="5" t="s">
        <v>9</v>
      </c>
    </row>
    <row r="4" spans="1:6" ht="19.95" customHeight="1" x14ac:dyDescent="0.3">
      <c r="A4" s="3" t="s">
        <v>10</v>
      </c>
      <c r="B4" s="7" t="s">
        <v>11</v>
      </c>
      <c r="C4" s="8">
        <v>38</v>
      </c>
      <c r="D4" s="9">
        <v>52</v>
      </c>
      <c r="E4" s="9">
        <v>65</v>
      </c>
      <c r="F4" s="8" t="s">
        <v>12</v>
      </c>
    </row>
    <row r="5" spans="1:6" ht="19.95" customHeight="1" x14ac:dyDescent="0.3">
      <c r="A5" s="3" t="s">
        <v>13</v>
      </c>
      <c r="B5" s="4" t="s">
        <v>14</v>
      </c>
      <c r="C5" s="8">
        <v>28</v>
      </c>
      <c r="D5" s="6">
        <v>45</v>
      </c>
      <c r="E5" s="6">
        <v>62</v>
      </c>
      <c r="F5" s="8" t="s">
        <v>12</v>
      </c>
    </row>
    <row r="6" spans="1:6" ht="19.95" customHeight="1" x14ac:dyDescent="0.3">
      <c r="A6" s="3" t="s">
        <v>15</v>
      </c>
      <c r="B6" s="7" t="s">
        <v>16</v>
      </c>
      <c r="C6" s="10">
        <v>72</v>
      </c>
      <c r="D6" s="9">
        <v>74</v>
      </c>
      <c r="E6" s="9">
        <v>76</v>
      </c>
      <c r="F6" s="10" t="s">
        <v>17</v>
      </c>
    </row>
    <row r="7" spans="1:6" ht="19.95" customHeight="1" x14ac:dyDescent="0.3">
      <c r="A7" s="3" t="s">
        <v>18</v>
      </c>
      <c r="B7" s="4" t="s">
        <v>19</v>
      </c>
      <c r="C7" s="8">
        <v>32</v>
      </c>
      <c r="D7" s="6">
        <v>48</v>
      </c>
      <c r="E7" s="6">
        <v>60</v>
      </c>
      <c r="F7" s="8" t="s">
        <v>12</v>
      </c>
    </row>
    <row r="8" spans="1:6" ht="19.95" customHeight="1" x14ac:dyDescent="0.3">
      <c r="A8" s="3" t="s">
        <v>20</v>
      </c>
      <c r="B8" s="7" t="s">
        <v>21</v>
      </c>
      <c r="C8" s="5">
        <v>55</v>
      </c>
      <c r="D8" s="9">
        <v>57</v>
      </c>
      <c r="E8" s="9">
        <v>60</v>
      </c>
      <c r="F8" s="5" t="s">
        <v>9</v>
      </c>
    </row>
    <row r="9" spans="1:6" ht="19.95" customHeight="1" x14ac:dyDescent="0.3">
      <c r="A9" s="3" t="s">
        <v>22</v>
      </c>
      <c r="B9" s="4" t="s">
        <v>23</v>
      </c>
      <c r="C9" s="5">
        <v>43</v>
      </c>
      <c r="D9" s="6">
        <v>50</v>
      </c>
      <c r="E9" s="6">
        <v>55</v>
      </c>
      <c r="F9" s="5" t="s">
        <v>9</v>
      </c>
    </row>
    <row r="10" spans="1:6" ht="19.95" customHeight="1" x14ac:dyDescent="0.3">
      <c r="A10" s="3" t="s">
        <v>24</v>
      </c>
      <c r="B10" s="7" t="s">
        <v>25</v>
      </c>
      <c r="C10" s="8">
        <v>38</v>
      </c>
      <c r="D10" s="9">
        <v>45</v>
      </c>
      <c r="E10" s="9">
        <v>55</v>
      </c>
      <c r="F10" s="8" t="s">
        <v>12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1" t="s">
        <v>36</v>
      </c>
      <c r="K2" s="11" t="s">
        <v>37</v>
      </c>
      <c r="L2" s="11" t="s">
        <v>38</v>
      </c>
    </row>
    <row r="3" spans="1:12" x14ac:dyDescent="0.3">
      <c r="A3" s="4" t="s">
        <v>39</v>
      </c>
      <c r="B3" s="4" t="s">
        <v>40</v>
      </c>
      <c r="C3" s="4" t="s">
        <v>41</v>
      </c>
      <c r="D3" s="4" t="s">
        <v>42</v>
      </c>
      <c r="E3" s="6">
        <v>4</v>
      </c>
      <c r="F3" s="6">
        <v>4</v>
      </c>
      <c r="G3" s="6">
        <v>3</v>
      </c>
      <c r="H3" s="6">
        <v>4</v>
      </c>
      <c r="I3" s="6">
        <v>4</v>
      </c>
      <c r="J3" s="12">
        <f t="shared" ref="J3:J14" si="0">SUM(E3:I3)</f>
        <v>19</v>
      </c>
      <c r="K3" s="13">
        <f t="shared" ref="K3:K14" si="1">J3/5</f>
        <v>3.8</v>
      </c>
      <c r="L3" s="14">
        <f t="shared" ref="L3:L14" si="2">(K3-1)/4*100</f>
        <v>70</v>
      </c>
    </row>
    <row r="4" spans="1:12" x14ac:dyDescent="0.3">
      <c r="A4" s="7" t="s">
        <v>43</v>
      </c>
      <c r="B4" s="7" t="s">
        <v>40</v>
      </c>
      <c r="C4" s="7" t="s">
        <v>44</v>
      </c>
      <c r="D4" s="7" t="s">
        <v>45</v>
      </c>
      <c r="E4" s="9">
        <v>3</v>
      </c>
      <c r="F4" s="9">
        <v>4</v>
      </c>
      <c r="G4" s="9">
        <v>4</v>
      </c>
      <c r="H4" s="9">
        <v>3</v>
      </c>
      <c r="I4" s="9">
        <v>4</v>
      </c>
      <c r="J4" s="15">
        <f t="shared" si="0"/>
        <v>18</v>
      </c>
      <c r="K4" s="16">
        <f t="shared" si="1"/>
        <v>3.6</v>
      </c>
      <c r="L4" s="17">
        <f t="shared" si="2"/>
        <v>65</v>
      </c>
    </row>
    <row r="5" spans="1:12" x14ac:dyDescent="0.3">
      <c r="A5" s="4" t="s">
        <v>46</v>
      </c>
      <c r="B5" s="4" t="s">
        <v>47</v>
      </c>
      <c r="C5" s="4" t="s">
        <v>48</v>
      </c>
      <c r="D5" s="4" t="s">
        <v>42</v>
      </c>
      <c r="E5" s="6">
        <v>4</v>
      </c>
      <c r="F5" s="6">
        <v>3</v>
      </c>
      <c r="G5" s="6">
        <v>3</v>
      </c>
      <c r="H5" s="6">
        <v>4</v>
      </c>
      <c r="I5" s="6">
        <v>3</v>
      </c>
      <c r="J5" s="12">
        <f t="shared" si="0"/>
        <v>17</v>
      </c>
      <c r="K5" s="13">
        <f t="shared" si="1"/>
        <v>3.4</v>
      </c>
      <c r="L5" s="14">
        <f t="shared" si="2"/>
        <v>60</v>
      </c>
    </row>
    <row r="6" spans="1:12" x14ac:dyDescent="0.3">
      <c r="A6" s="7" t="s">
        <v>49</v>
      </c>
      <c r="B6" s="7" t="s">
        <v>50</v>
      </c>
      <c r="C6" s="7" t="s">
        <v>51</v>
      </c>
      <c r="D6" s="7" t="s">
        <v>45</v>
      </c>
      <c r="E6" s="9">
        <v>5</v>
      </c>
      <c r="F6" s="9">
        <v>4</v>
      </c>
      <c r="G6" s="9">
        <v>4</v>
      </c>
      <c r="H6" s="9">
        <v>5</v>
      </c>
      <c r="I6" s="9">
        <v>4</v>
      </c>
      <c r="J6" s="15">
        <f t="shared" si="0"/>
        <v>22</v>
      </c>
      <c r="K6" s="16">
        <f t="shared" si="1"/>
        <v>4.4000000000000004</v>
      </c>
      <c r="L6" s="17">
        <f t="shared" si="2"/>
        <v>85.000000000000014</v>
      </c>
    </row>
    <row r="7" spans="1:12" x14ac:dyDescent="0.3">
      <c r="A7" s="4" t="s">
        <v>52</v>
      </c>
      <c r="B7" s="4" t="s">
        <v>40</v>
      </c>
      <c r="C7" s="4" t="s">
        <v>53</v>
      </c>
      <c r="D7" s="4" t="s">
        <v>42</v>
      </c>
      <c r="E7" s="6">
        <v>3</v>
      </c>
      <c r="F7" s="6">
        <v>3</v>
      </c>
      <c r="G7" s="6">
        <v>4</v>
      </c>
      <c r="H7" s="6">
        <v>3</v>
      </c>
      <c r="I7" s="6">
        <v>3</v>
      </c>
      <c r="J7" s="12">
        <f t="shared" si="0"/>
        <v>16</v>
      </c>
      <c r="K7" s="13">
        <f t="shared" si="1"/>
        <v>3.2</v>
      </c>
      <c r="L7" s="14">
        <f t="shared" si="2"/>
        <v>55.000000000000007</v>
      </c>
    </row>
    <row r="8" spans="1:12" x14ac:dyDescent="0.3">
      <c r="A8" s="7" t="s">
        <v>54</v>
      </c>
      <c r="B8" s="7" t="s">
        <v>55</v>
      </c>
      <c r="C8" s="7" t="s">
        <v>56</v>
      </c>
      <c r="D8" s="7" t="s">
        <v>45</v>
      </c>
      <c r="E8" s="9">
        <v>5</v>
      </c>
      <c r="F8" s="9">
        <v>5</v>
      </c>
      <c r="G8" s="9">
        <v>4</v>
      </c>
      <c r="H8" s="9">
        <v>5</v>
      </c>
      <c r="I8" s="9">
        <v>4</v>
      </c>
      <c r="J8" s="15">
        <f t="shared" si="0"/>
        <v>23</v>
      </c>
      <c r="K8" s="16">
        <f t="shared" si="1"/>
        <v>4.5999999999999996</v>
      </c>
      <c r="L8" s="17">
        <f t="shared" si="2"/>
        <v>89.999999999999986</v>
      </c>
    </row>
    <row r="9" spans="1:12" x14ac:dyDescent="0.3">
      <c r="A9" s="4" t="s">
        <v>57</v>
      </c>
      <c r="B9" s="4" t="s">
        <v>40</v>
      </c>
      <c r="C9" s="4" t="s">
        <v>58</v>
      </c>
      <c r="D9" s="4" t="s">
        <v>42</v>
      </c>
      <c r="E9" s="6">
        <v>4</v>
      </c>
      <c r="F9" s="6">
        <v>4</v>
      </c>
      <c r="G9" s="6">
        <v>3</v>
      </c>
      <c r="H9" s="6">
        <v>3</v>
      </c>
      <c r="I9" s="6">
        <v>4</v>
      </c>
      <c r="J9" s="12">
        <f t="shared" si="0"/>
        <v>18</v>
      </c>
      <c r="K9" s="13">
        <f t="shared" si="1"/>
        <v>3.6</v>
      </c>
      <c r="L9" s="14">
        <f t="shared" si="2"/>
        <v>65</v>
      </c>
    </row>
    <row r="10" spans="1:12" x14ac:dyDescent="0.3">
      <c r="A10" s="7" t="s">
        <v>59</v>
      </c>
      <c r="B10" s="7" t="s">
        <v>50</v>
      </c>
      <c r="C10" s="7" t="s">
        <v>60</v>
      </c>
      <c r="D10" s="7" t="s">
        <v>45</v>
      </c>
      <c r="E10" s="9">
        <v>3</v>
      </c>
      <c r="F10" s="9">
        <v>4</v>
      </c>
      <c r="G10" s="9">
        <v>4</v>
      </c>
      <c r="H10" s="9">
        <v>4</v>
      </c>
      <c r="I10" s="9">
        <v>3</v>
      </c>
      <c r="J10" s="15">
        <f t="shared" si="0"/>
        <v>18</v>
      </c>
      <c r="K10" s="16">
        <f t="shared" si="1"/>
        <v>3.6</v>
      </c>
      <c r="L10" s="17">
        <f t="shared" si="2"/>
        <v>65</v>
      </c>
    </row>
    <row r="11" spans="1:12" x14ac:dyDescent="0.3">
      <c r="A11" s="4" t="s">
        <v>61</v>
      </c>
      <c r="B11" s="4" t="s">
        <v>47</v>
      </c>
      <c r="C11" s="4" t="s">
        <v>62</v>
      </c>
      <c r="D11" s="4" t="s">
        <v>42</v>
      </c>
      <c r="E11" s="6">
        <v>4</v>
      </c>
      <c r="F11" s="6">
        <v>3</v>
      </c>
      <c r="G11" s="6">
        <v>3</v>
      </c>
      <c r="H11" s="6">
        <v>4</v>
      </c>
      <c r="I11" s="6">
        <v>4</v>
      </c>
      <c r="J11" s="12">
        <f t="shared" si="0"/>
        <v>18</v>
      </c>
      <c r="K11" s="13">
        <f t="shared" si="1"/>
        <v>3.6</v>
      </c>
      <c r="L11" s="14">
        <f t="shared" si="2"/>
        <v>65</v>
      </c>
    </row>
    <row r="12" spans="1:12" x14ac:dyDescent="0.3">
      <c r="A12" s="7" t="s">
        <v>63</v>
      </c>
      <c r="B12" s="7" t="s">
        <v>40</v>
      </c>
      <c r="C12" s="7" t="s">
        <v>64</v>
      </c>
      <c r="D12" s="7" t="s">
        <v>45</v>
      </c>
      <c r="E12" s="9">
        <v>4</v>
      </c>
      <c r="F12" s="9">
        <v>4</v>
      </c>
      <c r="G12" s="9">
        <v>4</v>
      </c>
      <c r="H12" s="9">
        <v>3</v>
      </c>
      <c r="I12" s="9">
        <v>4</v>
      </c>
      <c r="J12" s="15">
        <f t="shared" si="0"/>
        <v>19</v>
      </c>
      <c r="K12" s="16">
        <f t="shared" si="1"/>
        <v>3.8</v>
      </c>
      <c r="L12" s="17">
        <f t="shared" si="2"/>
        <v>70</v>
      </c>
    </row>
    <row r="13" spans="1:12" x14ac:dyDescent="0.3">
      <c r="A13" s="4" t="s">
        <v>65</v>
      </c>
      <c r="B13" s="4" t="s">
        <v>55</v>
      </c>
      <c r="C13" s="4" t="s">
        <v>66</v>
      </c>
      <c r="D13" s="4" t="s">
        <v>42</v>
      </c>
      <c r="E13" s="6">
        <v>5</v>
      </c>
      <c r="F13" s="6">
        <v>4</v>
      </c>
      <c r="G13" s="6">
        <v>5</v>
      </c>
      <c r="H13" s="6">
        <v>4</v>
      </c>
      <c r="I13" s="6">
        <v>5</v>
      </c>
      <c r="J13" s="12">
        <f t="shared" si="0"/>
        <v>23</v>
      </c>
      <c r="K13" s="13">
        <f t="shared" si="1"/>
        <v>4.5999999999999996</v>
      </c>
      <c r="L13" s="14">
        <f t="shared" si="2"/>
        <v>89.999999999999986</v>
      </c>
    </row>
    <row r="14" spans="1:12" x14ac:dyDescent="0.3">
      <c r="A14" s="7" t="s">
        <v>67</v>
      </c>
      <c r="B14" s="7" t="s">
        <v>40</v>
      </c>
      <c r="C14" s="7" t="s">
        <v>68</v>
      </c>
      <c r="D14" s="7" t="s">
        <v>45</v>
      </c>
      <c r="E14" s="9">
        <v>3</v>
      </c>
      <c r="F14" s="9">
        <v>3</v>
      </c>
      <c r="G14" s="9">
        <v>3</v>
      </c>
      <c r="H14" s="9">
        <v>3</v>
      </c>
      <c r="I14" s="9">
        <v>3</v>
      </c>
      <c r="J14" s="15">
        <f t="shared" si="0"/>
        <v>15</v>
      </c>
      <c r="K14" s="16">
        <f t="shared" si="1"/>
        <v>3</v>
      </c>
      <c r="L14" s="17">
        <f t="shared" si="2"/>
        <v>50</v>
      </c>
    </row>
    <row r="15" spans="1:12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3">
      <c r="A16" s="23" t="s">
        <v>69</v>
      </c>
      <c r="B16" s="24"/>
      <c r="C16" s="24"/>
      <c r="D16" s="24"/>
      <c r="E16" s="18"/>
      <c r="F16" s="18"/>
      <c r="G16" s="18"/>
      <c r="H16" s="18"/>
      <c r="I16" s="18"/>
      <c r="J16" s="18"/>
      <c r="K16" s="18"/>
      <c r="L16" s="19">
        <f>AVERAGE(L3:L14)</f>
        <v>69.166666666666671</v>
      </c>
    </row>
  </sheetData>
  <mergeCells count="2">
    <mergeCell ref="A1:L1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tabSelected="1" workbookViewId="0">
      <selection activeCell="A3" sqref="A3:L3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71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73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74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75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76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77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79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80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81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>
      <selection sqref="A1:L1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4" width="7" customWidth="1"/>
    <col min="5" max="9" width="5" customWidth="1"/>
    <col min="10" max="10" width="7" customWidth="1"/>
    <col min="11" max="11" width="9" customWidth="1"/>
    <col min="12" max="12" width="11" customWidth="1"/>
  </cols>
  <sheetData>
    <row r="1" spans="1:12" ht="15.6" x14ac:dyDescent="0.3">
      <c r="A1" s="21" t="s">
        <v>82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0" t="s">
        <v>37</v>
      </c>
      <c r="L2" s="20" t="s">
        <v>38</v>
      </c>
    </row>
    <row r="3" spans="1:12" x14ac:dyDescent="0.3">
      <c r="A3" s="25" t="s">
        <v>83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</sheetData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IA</vt:lpstr>
      <vt:lpstr>IAT</vt:lpstr>
      <vt:lpstr>ICI</vt:lpstr>
      <vt:lpstr>IVC</vt:lpstr>
      <vt:lpstr>IME</vt:lpstr>
      <vt:lpstr>IIN</vt:lpstr>
      <vt:lpstr>IPRA</vt:lpstr>
      <vt:lpstr>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YOHANNA CATALINA HENAO HERRERA</cp:lastModifiedBy>
  <dcterms:created xsi:type="dcterms:W3CDTF">2026-04-15T00:23:25Z</dcterms:created>
  <dcterms:modified xsi:type="dcterms:W3CDTF">2026-04-18T05:08:40Z</dcterms:modified>
</cp:coreProperties>
</file>